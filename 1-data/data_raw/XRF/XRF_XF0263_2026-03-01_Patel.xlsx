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pate212/GitHub/CRESS/1-data/data_raw/XRF/"/>
    </mc:Choice>
  </mc:AlternateContent>
  <xr:revisionPtr revIDLastSave="0" documentId="8_{E1CB3BA3-6FA5-8545-8BD7-0275D93B9949}" xr6:coauthVersionLast="47" xr6:coauthVersionMax="47" xr10:uidLastSave="{00000000-0000-0000-0000-000000000000}"/>
  <bookViews>
    <workbookView xWindow="-140" yWindow="660" windowWidth="30240" windowHeight="16720" xr2:uid="{00000000-000D-0000-FFFF-FFFF00000000}"/>
  </bookViews>
  <sheets>
    <sheet name="XF026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4" l="1"/>
  <c r="X16" i="4"/>
  <c r="X31" i="4"/>
  <c r="X29" i="4"/>
  <c r="B25" i="4"/>
  <c r="X24" i="4"/>
  <c r="B24" i="4"/>
  <c r="X23" i="4"/>
  <c r="B23" i="4"/>
  <c r="X22" i="4"/>
  <c r="B22" i="4"/>
  <c r="X21" i="4"/>
  <c r="B21" i="4"/>
  <c r="X20" i="4"/>
  <c r="B20" i="4"/>
  <c r="X19" i="4"/>
  <c r="B19" i="4"/>
  <c r="X18" i="4"/>
  <c r="B18" i="4"/>
  <c r="X17" i="4"/>
  <c r="B17" i="4"/>
  <c r="B16" i="4"/>
  <c r="G8" i="4"/>
</calcChain>
</file>

<file path=xl/sharedStrings.xml><?xml version="1.0" encoding="utf-8"?>
<sst xmlns="http://schemas.openxmlformats.org/spreadsheetml/2006/main" count="353" uniqueCount="118">
  <si>
    <t>#</t>
  </si>
  <si>
    <t>Sample ID</t>
  </si>
  <si>
    <t>mass%</t>
  </si>
  <si>
    <t>mg/kg</t>
  </si>
  <si>
    <r>
      <t>Na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</si>
  <si>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t>MgO</t>
  </si>
  <si>
    <r>
      <t>Al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3</t>
    </r>
  </si>
  <si>
    <r>
      <t>SiO</t>
    </r>
    <r>
      <rPr>
        <vertAlign val="subscript"/>
        <sz val="12"/>
        <color theme="1"/>
        <rFont val="Times New Roman"/>
        <family val="1"/>
      </rPr>
      <t>2</t>
    </r>
  </si>
  <si>
    <r>
      <t>P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5</t>
    </r>
  </si>
  <si>
    <r>
      <t>SO</t>
    </r>
    <r>
      <rPr>
        <vertAlign val="subscript"/>
        <sz val="12"/>
        <color theme="1"/>
        <rFont val="Times New Roman"/>
        <family val="1"/>
      </rPr>
      <t>3</t>
    </r>
  </si>
  <si>
    <r>
      <t>K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</si>
  <si>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t>CaO</t>
  </si>
  <si>
    <r>
      <t>TiO</t>
    </r>
    <r>
      <rPr>
        <vertAlign val="subscript"/>
        <sz val="12"/>
        <color theme="1"/>
        <rFont val="Times New Roman"/>
        <family val="1"/>
      </rPr>
      <t>2</t>
    </r>
  </si>
  <si>
    <t>MnO</t>
  </si>
  <si>
    <r>
      <t>Fe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3</t>
    </r>
  </si>
  <si>
    <t>Cu</t>
  </si>
  <si>
    <t>Zn</t>
  </si>
  <si>
    <t>Ag</t>
  </si>
  <si>
    <t>Cl</t>
  </si>
  <si>
    <t>Cr</t>
  </si>
  <si>
    <t>Ni</t>
  </si>
  <si>
    <t>Br</t>
  </si>
  <si>
    <t>Cd</t>
  </si>
  <si>
    <t>Pb</t>
  </si>
  <si>
    <t>Total</t>
  </si>
  <si>
    <t>Sample Set / Outcrop</t>
  </si>
  <si>
    <t>API</t>
  </si>
  <si>
    <t>ND</t>
  </si>
  <si>
    <t>V</t>
  </si>
  <si>
    <t>Ga</t>
  </si>
  <si>
    <t>As</t>
  </si>
  <si>
    <t>Se</t>
  </si>
  <si>
    <t>Rb</t>
  </si>
  <si>
    <t>Sr</t>
  </si>
  <si>
    <t>Y</t>
  </si>
  <si>
    <t>Nb</t>
  </si>
  <si>
    <t>Mo</t>
  </si>
  <si>
    <t>In</t>
  </si>
  <si>
    <t>Sb</t>
  </si>
  <si>
    <t>Cs</t>
  </si>
  <si>
    <t>Ba</t>
  </si>
  <si>
    <t>La</t>
  </si>
  <si>
    <t>Ce</t>
  </si>
  <si>
    <t>U</t>
  </si>
  <si>
    <t>Th</t>
  </si>
  <si>
    <t>Reference Value</t>
  </si>
  <si>
    <t xml:space="preserve">Number of Samples: </t>
  </si>
  <si>
    <t>USA</t>
  </si>
  <si>
    <t xml:space="preserve">Telephone: </t>
  </si>
  <si>
    <t xml:space="preserve">Email: </t>
  </si>
  <si>
    <t xml:space="preserve">Client Name: </t>
  </si>
  <si>
    <t xml:space="preserve">Company: </t>
  </si>
  <si>
    <t xml:space="preserve">Address (line 1): </t>
  </si>
  <si>
    <t xml:space="preserve">Address (line 2): </t>
  </si>
  <si>
    <t xml:space="preserve">City &amp; State or Province: </t>
  </si>
  <si>
    <t xml:space="preserve">Postal or Zip Code: </t>
  </si>
  <si>
    <t xml:space="preserve">Country: </t>
  </si>
  <si>
    <t xml:space="preserve">Submission Date: </t>
  </si>
  <si>
    <t xml:space="preserve">Analysis Type: </t>
  </si>
  <si>
    <t xml:space="preserve">Analyst: </t>
  </si>
  <si>
    <t>Log:</t>
  </si>
  <si>
    <t>Depth [ft]</t>
  </si>
  <si>
    <t>A</t>
  </si>
  <si>
    <r>
      <rPr>
        <b/>
        <sz val="12"/>
        <color theme="1"/>
        <rFont val="Times New Roman"/>
        <family val="1"/>
      </rPr>
      <t xml:space="preserve">Lab Manager: </t>
    </r>
    <r>
      <rPr>
        <sz val="12"/>
        <color theme="1"/>
        <rFont val="Times New Roman"/>
        <family val="1"/>
      </rPr>
      <t xml:space="preserve">
Martin P. Pentrak, Ph.D.
Associate Mineralogist
mpentrak@illinois.edu
(217) 300-5625
</t>
    </r>
  </si>
  <si>
    <t>Martin P. Pentrak</t>
  </si>
  <si>
    <t>Location</t>
  </si>
  <si>
    <t>Long.</t>
  </si>
  <si>
    <t>Lat.</t>
  </si>
  <si>
    <t>Notes</t>
  </si>
  <si>
    <t>GPS coordinates</t>
  </si>
  <si>
    <t>Notes:  Values between the detection limit and quantitation limit are reported as "less than values"
            ND: Not Detected</t>
  </si>
  <si>
    <t>Location [County]</t>
  </si>
  <si>
    <t>ISGS QA/QC Standard</t>
  </si>
  <si>
    <t>NIST 2709</t>
  </si>
  <si>
    <t>NIST 2710</t>
  </si>
  <si>
    <t>Results: Semi-quantitative XRF Analysis, oxides</t>
  </si>
  <si>
    <t>Results: Semi-quantitative XRF Analysis, elements</t>
  </si>
  <si>
    <t>powder</t>
  </si>
  <si>
    <t>B</t>
  </si>
  <si>
    <t>C</t>
  </si>
  <si>
    <t>D</t>
  </si>
  <si>
    <t>E</t>
  </si>
  <si>
    <t>Kaizad Patel</t>
  </si>
  <si>
    <t>Pacific Northwest National Laboratory</t>
  </si>
  <si>
    <t>902 Battelle Blvd</t>
  </si>
  <si>
    <t>Richland, WA</t>
  </si>
  <si>
    <t>Kaizad.Patel@pnnl.gov</t>
  </si>
  <si>
    <t>(509) 372-4242</t>
  </si>
  <si>
    <t>XF0263</t>
  </si>
  <si>
    <t>Powder</t>
  </si>
  <si>
    <t>UPR26312</t>
  </si>
  <si>
    <t xml:space="preserve">Rate: </t>
  </si>
  <si>
    <t xml:space="preserve">Cost: </t>
  </si>
  <si>
    <t xml:space="preserve">Invoice #: </t>
  </si>
  <si>
    <t>Invoice Date:</t>
  </si>
  <si>
    <t>F</t>
  </si>
  <si>
    <t>G</t>
  </si>
  <si>
    <t>H</t>
  </si>
  <si>
    <t>I</t>
  </si>
  <si>
    <t>J</t>
  </si>
  <si>
    <t>CRESS - Soil 1</t>
  </si>
  <si>
    <t>CRESS - Soil 2</t>
  </si>
  <si>
    <t>CRESS - Soil 3</t>
  </si>
  <si>
    <t>CRESS - Soil 4</t>
  </si>
  <si>
    <t>CRESS - Soil 5</t>
  </si>
  <si>
    <t>CRESS - Soil 6</t>
  </si>
  <si>
    <t>CRESS - Soil 7</t>
  </si>
  <si>
    <t>CRESS - Mud 1</t>
  </si>
  <si>
    <t>CRESS - Mud 2</t>
  </si>
  <si>
    <t>CRESS - Mud 3</t>
  </si>
  <si>
    <t>&lt; 8.86</t>
  </si>
  <si>
    <t>&lt; 7.11</t>
  </si>
  <si>
    <t>&lt; 8.56</t>
  </si>
  <si>
    <t>&lt; 76.6</t>
  </si>
  <si>
    <t>&lt; 7.84</t>
  </si>
  <si>
    <t>&lt; 10.345</t>
  </si>
  <si>
    <t>&lt; 4.23</t>
  </si>
  <si>
    <t>&lt; 9.53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</si>
</sst>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"/>
    <numFmt numFmtId="165" formatCode="0.000"/>
    <numFmt numFmtId="166" formatCode="0.0000"/>
  </numFmts>
  <fonts count="1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i/>
      <sz val="12"/>
      <color theme="1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2" fontId="5" fillId="0" borderId="20" xfId="0" applyNumberFormat="1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10" fillId="0" borderId="11" xfId="0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21" xfId="0" applyFont="1" applyBorder="1"/>
    <xf numFmtId="14" fontId="5" fillId="0" borderId="15" xfId="0" applyNumberFormat="1" applyFont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1" fillId="0" borderId="25" xfId="0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8" fontId="0" fillId="0" borderId="0" xfId="0" applyNumberFormat="1"/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19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8" fontId="5" fillId="0" borderId="0" xfId="0" applyNumberFormat="1" applyFont="1" applyAlignment="1">
      <alignment horizontal="left"/>
    </xf>
    <xf numFmtId="8" fontId="5" fillId="0" borderId="0" xfId="0" quotePrefix="1" applyNumberFormat="1" applyFont="1" applyAlignment="1">
      <alignment horizontal="center" vertical="center"/>
    </xf>
    <xf numFmtId="8" fontId="5" fillId="0" borderId="15" xfId="0" applyNumberFormat="1" applyFont="1" applyBorder="1" applyAlignment="1">
      <alignment horizontal="left"/>
    </xf>
    <xf numFmtId="14" fontId="5" fillId="0" borderId="15" xfId="0" applyNumberFormat="1" applyFont="1" applyBorder="1" applyAlignment="1">
      <alignment horizontal="left" vertical="center"/>
    </xf>
    <xf numFmtId="0" fontId="5" fillId="0" borderId="28" xfId="0" applyFont="1" applyBorder="1"/>
    <xf numFmtId="1" fontId="5" fillId="0" borderId="20" xfId="0" applyNumberFormat="1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64" fontId="5" fillId="0" borderId="31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2" fontId="5" fillId="0" borderId="0" xfId="0" applyNumberFormat="1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quotePrefix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166" fontId="5" fillId="0" borderId="1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0" fontId="5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0" fillId="0" borderId="15" xfId="0" applyBorder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2" borderId="19" xfId="0" applyFont="1" applyFill="1" applyBorder="1" applyAlignment="1">
      <alignment horizontal="left"/>
    </xf>
    <xf numFmtId="0" fontId="5" fillId="2" borderId="20" xfId="0" applyFont="1" applyFill="1" applyBorder="1" applyAlignment="1">
      <alignment horizontal="left"/>
    </xf>
    <xf numFmtId="0" fontId="0" fillId="0" borderId="21" xfId="0" applyBorder="1" applyAlignment="1">
      <alignment horizontal="left"/>
    </xf>
    <xf numFmtId="0" fontId="5" fillId="0" borderId="20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8" fillId="0" borderId="10" xfId="1" applyBorder="1" applyAlignment="1">
      <alignment horizontal="left" vertical="center"/>
    </xf>
    <xf numFmtId="0" fontId="9" fillId="0" borderId="32" xfId="1" applyFont="1" applyBorder="1" applyAlignment="1">
      <alignment horizontal="left" vertical="center"/>
    </xf>
    <xf numFmtId="0" fontId="5" fillId="2" borderId="1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0" fontId="5" fillId="0" borderId="11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22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0" fontId="1" fillId="2" borderId="19" xfId="0" applyFont="1" applyFill="1" applyBorder="1" applyAlignment="1">
      <alignment horizontal="left"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3</xdr:col>
      <xdr:colOff>99794</xdr:colOff>
      <xdr:row>0</xdr:row>
      <xdr:rowOff>1238249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B5D75-4708-C747-BDC0-1A49FCBD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6675"/>
          <a:ext cx="2525494" cy="1171574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1219201</xdr:rowOff>
    </xdr:from>
    <xdr:to>
      <xdr:col>1</xdr:col>
      <xdr:colOff>1200150</xdr:colOff>
      <xdr:row>1</xdr:row>
      <xdr:rowOff>152401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4399B9-E7CC-2C46-9808-778C6D80D4C4}"/>
            </a:ext>
          </a:extLst>
        </xdr:cNvPr>
        <xdr:cNvSpPr txBox="1"/>
      </xdr:nvSpPr>
      <xdr:spPr>
        <a:xfrm>
          <a:off x="47625" y="1219201"/>
          <a:ext cx="1520825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XRF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Laboratory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izad.Patel@pnnl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0F46-D38D-584B-96B1-53CC1D38E0C0}">
  <dimension ref="A1:BC35"/>
  <sheetViews>
    <sheetView tabSelected="1" topLeftCell="F4" zoomScaleNormal="120" workbookViewId="0">
      <selection activeCell="AB22" sqref="AB22"/>
    </sheetView>
  </sheetViews>
  <sheetFormatPr baseColWidth="10" defaultColWidth="8.83203125" defaultRowHeight="15" x14ac:dyDescent="0.2"/>
  <cols>
    <col min="1" max="1" width="4.83203125" customWidth="1"/>
    <col min="2" max="2" width="20" customWidth="1"/>
    <col min="3" max="3" width="8.5" customWidth="1"/>
    <col min="4" max="4" width="28" customWidth="1"/>
    <col min="5" max="5" width="29.6640625" customWidth="1"/>
    <col min="6" max="6" width="20.33203125" customWidth="1"/>
    <col min="7" max="7" width="35.6640625" customWidth="1"/>
    <col min="8" max="9" width="23.33203125" customWidth="1"/>
    <col min="10" max="10" width="35.83203125" customWidth="1"/>
    <col min="11" max="11" width="40.1640625" customWidth="1"/>
    <col min="12" max="12" width="1.1640625" customWidth="1"/>
    <col min="18" max="18" width="9.5" bestFit="1" customWidth="1"/>
    <col min="20" max="20" width="9.5" bestFit="1" customWidth="1"/>
    <col min="22" max="22" width="9.33203125" bestFit="1" customWidth="1"/>
    <col min="25" max="25" width="1.1640625" customWidth="1"/>
    <col min="26" max="26" width="10.6640625" customWidth="1"/>
  </cols>
  <sheetData>
    <row r="1" spans="1:55" ht="119.25" customHeight="1" x14ac:dyDescent="0.2">
      <c r="A1" s="139"/>
      <c r="B1" s="139"/>
      <c r="C1" s="139"/>
      <c r="D1" s="139"/>
      <c r="E1" s="16" t="s">
        <v>63</v>
      </c>
      <c r="F1" s="16"/>
      <c r="G1" s="16"/>
      <c r="H1" s="16"/>
      <c r="I1" s="16"/>
      <c r="J1" s="16"/>
    </row>
    <row r="2" spans="1:55" ht="16" thickBot="1" x14ac:dyDescent="0.25"/>
    <row r="3" spans="1:55" ht="16" x14ac:dyDescent="0.2">
      <c r="A3" s="140" t="s">
        <v>50</v>
      </c>
      <c r="B3" s="141"/>
      <c r="C3" s="142"/>
      <c r="D3" s="143" t="s">
        <v>82</v>
      </c>
      <c r="E3" s="144"/>
      <c r="F3" s="34" t="s">
        <v>60</v>
      </c>
      <c r="G3" s="21" t="s">
        <v>88</v>
      </c>
      <c r="H3" s="37"/>
      <c r="I3" s="37"/>
      <c r="J3" s="37"/>
      <c r="M3" s="1"/>
    </row>
    <row r="4" spans="1:55" ht="16" x14ac:dyDescent="0.2">
      <c r="A4" s="134" t="s">
        <v>51</v>
      </c>
      <c r="B4" s="135"/>
      <c r="C4" s="136"/>
      <c r="D4" s="137" t="s">
        <v>83</v>
      </c>
      <c r="E4" s="138"/>
      <c r="F4" s="35" t="s">
        <v>57</v>
      </c>
      <c r="G4" s="22">
        <v>46043</v>
      </c>
      <c r="H4" s="38"/>
      <c r="I4" s="38"/>
      <c r="J4" s="38"/>
    </row>
    <row r="5" spans="1:55" ht="16" x14ac:dyDescent="0.2">
      <c r="A5" s="134" t="s">
        <v>52</v>
      </c>
      <c r="B5" s="135"/>
      <c r="C5" s="136"/>
      <c r="D5" s="137" t="s">
        <v>84</v>
      </c>
      <c r="E5" s="138"/>
      <c r="F5" s="35" t="s">
        <v>46</v>
      </c>
      <c r="G5" s="36">
        <v>10</v>
      </c>
      <c r="H5" s="39"/>
      <c r="I5" s="39"/>
      <c r="J5" s="39"/>
      <c r="K5" s="39"/>
    </row>
    <row r="6" spans="1:55" ht="16" x14ac:dyDescent="0.2">
      <c r="A6" s="134" t="s">
        <v>53</v>
      </c>
      <c r="B6" s="135"/>
      <c r="C6" s="136"/>
      <c r="D6" s="137"/>
      <c r="E6" s="138"/>
      <c r="F6" s="35" t="s">
        <v>58</v>
      </c>
      <c r="G6" s="36" t="s">
        <v>89</v>
      </c>
      <c r="H6" s="39"/>
      <c r="I6" s="39"/>
      <c r="J6" s="39"/>
      <c r="K6" s="37"/>
    </row>
    <row r="7" spans="1:55" ht="16" x14ac:dyDescent="0.2">
      <c r="A7" s="134" t="s">
        <v>54</v>
      </c>
      <c r="B7" s="135"/>
      <c r="C7" s="136"/>
      <c r="D7" s="137" t="s">
        <v>85</v>
      </c>
      <c r="E7" s="138"/>
      <c r="F7" s="35" t="s">
        <v>91</v>
      </c>
      <c r="G7" s="42">
        <v>148</v>
      </c>
      <c r="H7" s="40"/>
      <c r="I7" s="40"/>
      <c r="J7" s="40"/>
      <c r="K7" s="41"/>
    </row>
    <row r="8" spans="1:55" ht="16" x14ac:dyDescent="0.2">
      <c r="A8" s="134" t="s">
        <v>55</v>
      </c>
      <c r="B8" s="135"/>
      <c r="C8" s="136"/>
      <c r="D8" s="137">
        <v>99354</v>
      </c>
      <c r="E8" s="138"/>
      <c r="F8" s="35" t="s">
        <v>92</v>
      </c>
      <c r="G8" s="42">
        <f>G5*G7</f>
        <v>1480</v>
      </c>
      <c r="H8" s="40"/>
      <c r="I8" s="40"/>
      <c r="J8" s="40"/>
      <c r="K8" s="41"/>
      <c r="M8" s="29"/>
    </row>
    <row r="9" spans="1:55" ht="16" x14ac:dyDescent="0.2">
      <c r="A9" s="134" t="s">
        <v>56</v>
      </c>
      <c r="B9" s="135"/>
      <c r="C9" s="136"/>
      <c r="D9" s="137" t="s">
        <v>47</v>
      </c>
      <c r="E9" s="138"/>
      <c r="F9" s="35" t="s">
        <v>93</v>
      </c>
      <c r="G9" s="36" t="s">
        <v>90</v>
      </c>
      <c r="H9" s="39"/>
      <c r="I9" s="39"/>
      <c r="J9" s="39"/>
    </row>
    <row r="10" spans="1:55" s="55" customFormat="1" ht="16" x14ac:dyDescent="0.2">
      <c r="A10" s="145" t="s">
        <v>49</v>
      </c>
      <c r="B10" s="146"/>
      <c r="C10" s="147"/>
      <c r="D10" s="148" t="s">
        <v>86</v>
      </c>
      <c r="E10" s="149"/>
      <c r="F10" s="35" t="s">
        <v>94</v>
      </c>
      <c r="G10" s="43">
        <v>46082</v>
      </c>
      <c r="H10" s="54"/>
      <c r="I10" s="54"/>
      <c r="J10" s="54"/>
    </row>
    <row r="11" spans="1:55" ht="17" thickBot="1" x14ac:dyDescent="0.25">
      <c r="A11" s="150" t="s">
        <v>48</v>
      </c>
      <c r="B11" s="151"/>
      <c r="C11" s="152"/>
      <c r="D11" s="153" t="s">
        <v>87</v>
      </c>
      <c r="E11" s="154"/>
      <c r="F11" s="23" t="s">
        <v>59</v>
      </c>
      <c r="G11" s="44" t="s">
        <v>64</v>
      </c>
      <c r="H11" s="37"/>
      <c r="I11" s="37"/>
      <c r="J11" s="37"/>
    </row>
    <row r="12" spans="1:55" ht="16" thickBot="1" x14ac:dyDescent="0.25"/>
    <row r="13" spans="1:55" s="1" customFormat="1" ht="21" customHeight="1" thickBot="1" x14ac:dyDescent="0.25">
      <c r="B13" s="112"/>
      <c r="C13" s="112"/>
      <c r="K13" s="112"/>
      <c r="M13" s="161" t="s">
        <v>75</v>
      </c>
      <c r="N13" s="162"/>
      <c r="O13" s="162"/>
      <c r="P13" s="162"/>
      <c r="Q13" s="162"/>
      <c r="R13" s="163"/>
      <c r="S13" s="163"/>
      <c r="T13" s="163"/>
      <c r="U13" s="163"/>
      <c r="V13" s="163"/>
      <c r="W13" s="163"/>
      <c r="X13" s="164"/>
      <c r="Y13" s="112"/>
      <c r="Z13" s="165" t="s">
        <v>76</v>
      </c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7"/>
      <c r="AZ13" s="112"/>
      <c r="BA13" s="112"/>
      <c r="BB13" s="112"/>
      <c r="BC13" s="112"/>
    </row>
    <row r="14" spans="1:55" s="1" customFormat="1" ht="16" x14ac:dyDescent="0.2">
      <c r="A14" s="168" t="s">
        <v>0</v>
      </c>
      <c r="B14" s="170" t="s">
        <v>1</v>
      </c>
      <c r="C14" s="171"/>
      <c r="D14" s="174" t="s">
        <v>25</v>
      </c>
      <c r="E14" s="170" t="s">
        <v>61</v>
      </c>
      <c r="F14" s="170" t="s">
        <v>26</v>
      </c>
      <c r="G14" s="170" t="s">
        <v>65</v>
      </c>
      <c r="H14" s="170" t="s">
        <v>69</v>
      </c>
      <c r="I14" s="171"/>
      <c r="J14" s="171"/>
      <c r="K14" s="176" t="s">
        <v>68</v>
      </c>
      <c r="M14" s="118" t="s">
        <v>2</v>
      </c>
      <c r="N14" s="119" t="s">
        <v>2</v>
      </c>
      <c r="O14" s="119" t="s">
        <v>2</v>
      </c>
      <c r="P14" s="119" t="s">
        <v>2</v>
      </c>
      <c r="Q14" s="119" t="s">
        <v>2</v>
      </c>
      <c r="R14" s="119" t="s">
        <v>2</v>
      </c>
      <c r="S14" s="119" t="s">
        <v>2</v>
      </c>
      <c r="T14" s="119" t="s">
        <v>2</v>
      </c>
      <c r="U14" s="119" t="s">
        <v>2</v>
      </c>
      <c r="V14" s="119" t="s">
        <v>2</v>
      </c>
      <c r="W14" s="119" t="s">
        <v>2</v>
      </c>
      <c r="X14" s="120" t="s">
        <v>2</v>
      </c>
      <c r="Y14" s="2"/>
      <c r="Z14" s="122" t="s">
        <v>3</v>
      </c>
      <c r="AA14" s="121" t="s">
        <v>3</v>
      </c>
      <c r="AB14" s="121" t="s">
        <v>3</v>
      </c>
      <c r="AC14" s="121" t="s">
        <v>3</v>
      </c>
      <c r="AD14" s="121" t="s">
        <v>3</v>
      </c>
      <c r="AE14" s="121" t="s">
        <v>3</v>
      </c>
      <c r="AF14" s="121" t="s">
        <v>3</v>
      </c>
      <c r="AG14" s="121" t="s">
        <v>3</v>
      </c>
      <c r="AH14" s="121" t="s">
        <v>3</v>
      </c>
      <c r="AI14" s="121" t="s">
        <v>3</v>
      </c>
      <c r="AJ14" s="121" t="s">
        <v>3</v>
      </c>
      <c r="AK14" s="121" t="s">
        <v>3</v>
      </c>
      <c r="AL14" s="121" t="s">
        <v>3</v>
      </c>
      <c r="AM14" s="121" t="s">
        <v>3</v>
      </c>
      <c r="AN14" s="121" t="s">
        <v>3</v>
      </c>
      <c r="AO14" s="121" t="s">
        <v>3</v>
      </c>
      <c r="AP14" s="121" t="s">
        <v>3</v>
      </c>
      <c r="AQ14" s="121" t="s">
        <v>3</v>
      </c>
      <c r="AR14" s="121" t="s">
        <v>3</v>
      </c>
      <c r="AS14" s="121" t="s">
        <v>3</v>
      </c>
      <c r="AT14" s="121" t="s">
        <v>3</v>
      </c>
      <c r="AU14" s="121" t="s">
        <v>3</v>
      </c>
      <c r="AV14" s="121" t="s">
        <v>3</v>
      </c>
      <c r="AW14" s="121" t="s">
        <v>3</v>
      </c>
      <c r="AX14" s="121" t="s">
        <v>3</v>
      </c>
      <c r="AY14" s="123" t="s">
        <v>3</v>
      </c>
      <c r="AZ14" s="3"/>
      <c r="BA14" s="3"/>
      <c r="BB14" s="3"/>
    </row>
    <row r="15" spans="1:55" s="1" customFormat="1" ht="19" thickBot="1" x14ac:dyDescent="0.3">
      <c r="A15" s="169"/>
      <c r="B15" s="172"/>
      <c r="C15" s="173"/>
      <c r="D15" s="175"/>
      <c r="E15" s="172"/>
      <c r="F15" s="172"/>
      <c r="G15" s="173"/>
      <c r="H15" s="46" t="s">
        <v>67</v>
      </c>
      <c r="I15" s="46" t="s">
        <v>66</v>
      </c>
      <c r="J15" s="46" t="s">
        <v>71</v>
      </c>
      <c r="K15" s="177"/>
      <c r="M15" s="116" t="s">
        <v>4</v>
      </c>
      <c r="N15" s="117" t="s">
        <v>5</v>
      </c>
      <c r="O15" s="117" t="s">
        <v>6</v>
      </c>
      <c r="P15" s="117" t="s">
        <v>7</v>
      </c>
      <c r="Q15" s="117" t="s">
        <v>8</v>
      </c>
      <c r="R15" s="117" t="s">
        <v>9</v>
      </c>
      <c r="S15" s="117" t="s">
        <v>10</v>
      </c>
      <c r="T15" s="117" t="s">
        <v>11</v>
      </c>
      <c r="U15" s="117" t="s">
        <v>12</v>
      </c>
      <c r="V15" s="117" t="s">
        <v>13</v>
      </c>
      <c r="W15" s="117" t="s">
        <v>14</v>
      </c>
      <c r="X15" s="110" t="s">
        <v>24</v>
      </c>
      <c r="Y15" s="30"/>
      <c r="Z15" s="124" t="s">
        <v>18</v>
      </c>
      <c r="AA15" s="125" t="s">
        <v>28</v>
      </c>
      <c r="AB15" s="125" t="s">
        <v>19</v>
      </c>
      <c r="AC15" s="125" t="s">
        <v>20</v>
      </c>
      <c r="AD15" s="125" t="s">
        <v>15</v>
      </c>
      <c r="AE15" s="125" t="s">
        <v>16</v>
      </c>
      <c r="AF15" s="125" t="s">
        <v>29</v>
      </c>
      <c r="AG15" s="125" t="s">
        <v>30</v>
      </c>
      <c r="AH15" s="125" t="s">
        <v>31</v>
      </c>
      <c r="AI15" s="125" t="s">
        <v>21</v>
      </c>
      <c r="AJ15" s="125" t="s">
        <v>32</v>
      </c>
      <c r="AK15" s="125" t="s">
        <v>33</v>
      </c>
      <c r="AL15" s="125" t="s">
        <v>34</v>
      </c>
      <c r="AM15" s="125" t="s">
        <v>35</v>
      </c>
      <c r="AN15" s="125" t="s">
        <v>36</v>
      </c>
      <c r="AO15" s="125" t="s">
        <v>17</v>
      </c>
      <c r="AP15" s="125" t="s">
        <v>22</v>
      </c>
      <c r="AQ15" s="125" t="s">
        <v>37</v>
      </c>
      <c r="AR15" s="125" t="s">
        <v>38</v>
      </c>
      <c r="AS15" s="125" t="s">
        <v>39</v>
      </c>
      <c r="AT15" s="125" t="s">
        <v>40</v>
      </c>
      <c r="AU15" s="125" t="s">
        <v>41</v>
      </c>
      <c r="AV15" s="125" t="s">
        <v>42</v>
      </c>
      <c r="AW15" s="126" t="s">
        <v>23</v>
      </c>
      <c r="AX15" s="126" t="s">
        <v>44</v>
      </c>
      <c r="AY15" s="127" t="s">
        <v>43</v>
      </c>
    </row>
    <row r="16" spans="1:55" s="1" customFormat="1" ht="17" thickTop="1" x14ac:dyDescent="0.2">
      <c r="A16" s="103">
        <v>1</v>
      </c>
      <c r="B16" s="66" t="str">
        <f>G$3</f>
        <v>XF0263</v>
      </c>
      <c r="C16" s="66" t="s">
        <v>62</v>
      </c>
      <c r="D16" s="67" t="s">
        <v>100</v>
      </c>
      <c r="E16" s="67"/>
      <c r="F16" s="104"/>
      <c r="G16" s="66"/>
      <c r="H16" s="105"/>
      <c r="I16" s="105"/>
      <c r="J16" s="105"/>
      <c r="K16" s="114" t="s">
        <v>77</v>
      </c>
      <c r="M16" s="115" t="s">
        <v>27</v>
      </c>
      <c r="N16" s="79">
        <v>0.75449999999999995</v>
      </c>
      <c r="O16" s="81">
        <v>4.8450000000000006</v>
      </c>
      <c r="P16" s="80">
        <v>56.1</v>
      </c>
      <c r="Q16" s="79">
        <v>0.53649999999999998</v>
      </c>
      <c r="R16" s="79">
        <v>0.23749999999999999</v>
      </c>
      <c r="S16" s="81">
        <v>3.79</v>
      </c>
      <c r="T16" s="79">
        <v>0.1845</v>
      </c>
      <c r="U16" s="79">
        <v>0.53249999999999997</v>
      </c>
      <c r="V16" s="111">
        <v>1.1099999999999999E-2</v>
      </c>
      <c r="W16" s="80">
        <v>32.799999999999997</v>
      </c>
      <c r="X16" s="109">
        <f>SUM(M16:W16)</f>
        <v>99.791599999999988</v>
      </c>
      <c r="Y16" s="60"/>
      <c r="Z16" s="82">
        <v>215</v>
      </c>
      <c r="AA16" s="83">
        <v>272</v>
      </c>
      <c r="AB16" s="84">
        <v>297</v>
      </c>
      <c r="AC16" s="83">
        <v>40.9</v>
      </c>
      <c r="AD16" s="80">
        <v>41.7</v>
      </c>
      <c r="AE16" s="84">
        <v>146.5</v>
      </c>
      <c r="AF16" s="80">
        <v>22.299999999999997</v>
      </c>
      <c r="AG16" s="80">
        <v>34.15</v>
      </c>
      <c r="AH16" s="80" t="s">
        <v>27</v>
      </c>
      <c r="AI16" s="80">
        <v>22.1</v>
      </c>
      <c r="AJ16" s="84">
        <v>232.5</v>
      </c>
      <c r="AK16" s="80">
        <v>44.2</v>
      </c>
      <c r="AL16" s="83">
        <v>21.6</v>
      </c>
      <c r="AM16" s="83" t="s">
        <v>27</v>
      </c>
      <c r="AN16" s="83" t="s">
        <v>27</v>
      </c>
      <c r="AO16" s="83" t="s">
        <v>27</v>
      </c>
      <c r="AP16" s="83" t="s">
        <v>27</v>
      </c>
      <c r="AQ16" s="83" t="s">
        <v>27</v>
      </c>
      <c r="AR16" s="83" t="s">
        <v>27</v>
      </c>
      <c r="AS16" s="83" t="s">
        <v>27</v>
      </c>
      <c r="AT16" s="84" t="s">
        <v>27</v>
      </c>
      <c r="AU16" s="84" t="s">
        <v>27</v>
      </c>
      <c r="AV16" s="80" t="s">
        <v>27</v>
      </c>
      <c r="AW16" s="129">
        <v>64.45</v>
      </c>
      <c r="AX16" s="66">
        <v>18.799999999999997</v>
      </c>
      <c r="AY16" s="131" t="s">
        <v>110</v>
      </c>
      <c r="AZ16" s="7"/>
      <c r="BA16" s="7"/>
    </row>
    <row r="17" spans="1:54" s="1" customFormat="1" ht="16" x14ac:dyDescent="0.2">
      <c r="A17" s="68">
        <v>2</v>
      </c>
      <c r="B17" s="69" t="str">
        <f t="shared" ref="B17:B25" si="0">G$3</f>
        <v>XF0263</v>
      </c>
      <c r="C17" s="69" t="s">
        <v>78</v>
      </c>
      <c r="D17" s="70" t="s">
        <v>101</v>
      </c>
      <c r="E17" s="70"/>
      <c r="F17" s="71"/>
      <c r="G17" s="69"/>
      <c r="H17" s="72"/>
      <c r="I17" s="72"/>
      <c r="J17" s="72"/>
      <c r="K17" s="113" t="s">
        <v>77</v>
      </c>
      <c r="M17" s="93">
        <v>1.51</v>
      </c>
      <c r="N17" s="88">
        <v>0.94700000000000006</v>
      </c>
      <c r="O17" s="87">
        <v>14.95</v>
      </c>
      <c r="P17" s="87">
        <v>69.800000000000011</v>
      </c>
      <c r="Q17" s="88">
        <v>0.5575</v>
      </c>
      <c r="R17" s="88">
        <v>0.13450000000000001</v>
      </c>
      <c r="S17" s="86">
        <v>2.4550000000000001</v>
      </c>
      <c r="T17" s="86">
        <v>3.0649999999999999</v>
      </c>
      <c r="U17" s="88">
        <v>0.96649999999999991</v>
      </c>
      <c r="V17" s="85">
        <v>8.6850000000000011E-2</v>
      </c>
      <c r="W17" s="86">
        <v>5.2549999999999999</v>
      </c>
      <c r="X17" s="107">
        <f t="shared" ref="X17:X24" si="1">SUM(M17:W17)</f>
        <v>99.727350000000001</v>
      </c>
      <c r="Y17" s="60"/>
      <c r="Z17" s="89">
        <v>120</v>
      </c>
      <c r="AA17" s="90">
        <v>220</v>
      </c>
      <c r="AB17" s="87" t="s">
        <v>115</v>
      </c>
      <c r="AC17" s="90">
        <v>29.3</v>
      </c>
      <c r="AD17" s="87">
        <v>39.349999999999994</v>
      </c>
      <c r="AE17" s="91">
        <v>136</v>
      </c>
      <c r="AF17" s="87">
        <v>44.349999999999994</v>
      </c>
      <c r="AG17" s="90" t="s">
        <v>116</v>
      </c>
      <c r="AH17" s="87" t="s">
        <v>27</v>
      </c>
      <c r="AI17" s="91" t="s">
        <v>27</v>
      </c>
      <c r="AJ17" s="90">
        <v>104</v>
      </c>
      <c r="AK17" s="91">
        <v>780.5</v>
      </c>
      <c r="AL17" s="87">
        <v>27.85</v>
      </c>
      <c r="AM17" s="90">
        <v>22.8</v>
      </c>
      <c r="AN17" s="90" t="s">
        <v>27</v>
      </c>
      <c r="AO17" s="90" t="s">
        <v>27</v>
      </c>
      <c r="AP17" s="90" t="s">
        <v>27</v>
      </c>
      <c r="AQ17" s="90" t="s">
        <v>27</v>
      </c>
      <c r="AR17" s="90" t="s">
        <v>27</v>
      </c>
      <c r="AS17" s="90" t="s">
        <v>27</v>
      </c>
      <c r="AT17" s="91">
        <v>828</v>
      </c>
      <c r="AU17" s="91" t="s">
        <v>27</v>
      </c>
      <c r="AV17" s="87" t="s">
        <v>27</v>
      </c>
      <c r="AW17" s="94">
        <v>34.75</v>
      </c>
      <c r="AX17" s="69" t="s">
        <v>27</v>
      </c>
      <c r="AY17" s="92" t="s">
        <v>27</v>
      </c>
      <c r="AZ17" s="7"/>
      <c r="BA17" s="7"/>
    </row>
    <row r="18" spans="1:54" s="1" customFormat="1" ht="16" x14ac:dyDescent="0.2">
      <c r="A18" s="68">
        <v>3</v>
      </c>
      <c r="B18" s="69" t="str">
        <f t="shared" si="0"/>
        <v>XF0263</v>
      </c>
      <c r="C18" s="69" t="s">
        <v>79</v>
      </c>
      <c r="D18" s="70" t="s">
        <v>102</v>
      </c>
      <c r="E18" s="70"/>
      <c r="F18" s="71"/>
      <c r="G18" s="69"/>
      <c r="H18" s="72"/>
      <c r="I18" s="72"/>
      <c r="J18" s="72"/>
      <c r="K18" s="113" t="s">
        <v>77</v>
      </c>
      <c r="M18" s="106">
        <v>0.42799999999999999</v>
      </c>
      <c r="N18" s="88">
        <v>0.63600000000000001</v>
      </c>
      <c r="O18" s="87">
        <v>10.1</v>
      </c>
      <c r="P18" s="87">
        <v>75.55</v>
      </c>
      <c r="Q18" s="88">
        <v>0.56299999999999994</v>
      </c>
      <c r="R18" s="85">
        <v>7.7600000000000002E-2</v>
      </c>
      <c r="S18" s="86">
        <v>2.8499999999999996</v>
      </c>
      <c r="T18" s="88">
        <v>0.72150000000000003</v>
      </c>
      <c r="U18" s="86">
        <v>1.42</v>
      </c>
      <c r="V18" s="88">
        <v>0.32</v>
      </c>
      <c r="W18" s="86">
        <v>7.0949999999999998</v>
      </c>
      <c r="X18" s="107">
        <f t="shared" si="1"/>
        <v>99.761099999999999</v>
      </c>
      <c r="Y18" s="60"/>
      <c r="Z18" s="128">
        <v>74.25</v>
      </c>
      <c r="AA18" s="90">
        <v>417</v>
      </c>
      <c r="AB18" s="91">
        <v>101.5</v>
      </c>
      <c r="AC18" s="90">
        <v>54.2</v>
      </c>
      <c r="AD18" s="87">
        <v>65.349999999999994</v>
      </c>
      <c r="AE18" s="91">
        <v>152</v>
      </c>
      <c r="AF18" s="87">
        <v>30.049999999999997</v>
      </c>
      <c r="AG18" s="87">
        <v>29.05</v>
      </c>
      <c r="AH18" s="87" t="s">
        <v>27</v>
      </c>
      <c r="AI18" s="86">
        <v>8.07</v>
      </c>
      <c r="AJ18" s="91">
        <v>163.5</v>
      </c>
      <c r="AK18" s="90">
        <v>176</v>
      </c>
      <c r="AL18" s="90">
        <v>62.9</v>
      </c>
      <c r="AM18" s="87">
        <v>40.549999999999997</v>
      </c>
      <c r="AN18" s="90" t="s">
        <v>27</v>
      </c>
      <c r="AO18" s="90" t="s">
        <v>27</v>
      </c>
      <c r="AP18" s="90" t="s">
        <v>27</v>
      </c>
      <c r="AQ18" s="90" t="s">
        <v>27</v>
      </c>
      <c r="AR18" s="90" t="s">
        <v>27</v>
      </c>
      <c r="AS18" s="90" t="s">
        <v>27</v>
      </c>
      <c r="AT18" s="91">
        <v>711</v>
      </c>
      <c r="AU18" s="91" t="s">
        <v>27</v>
      </c>
      <c r="AV18" s="87" t="s">
        <v>27</v>
      </c>
      <c r="AW18" s="69">
        <v>58.3</v>
      </c>
      <c r="AX18" s="69">
        <v>28.3</v>
      </c>
      <c r="AY18" s="132" t="s">
        <v>112</v>
      </c>
      <c r="AZ18" s="7"/>
      <c r="BA18" s="7"/>
    </row>
    <row r="19" spans="1:54" s="1" customFormat="1" ht="16" x14ac:dyDescent="0.2">
      <c r="A19" s="68">
        <v>4</v>
      </c>
      <c r="B19" s="69" t="str">
        <f t="shared" si="0"/>
        <v>XF0263</v>
      </c>
      <c r="C19" s="69" t="s">
        <v>80</v>
      </c>
      <c r="D19" s="70" t="s">
        <v>103</v>
      </c>
      <c r="E19" s="70"/>
      <c r="F19" s="71"/>
      <c r="G19" s="69"/>
      <c r="H19" s="72"/>
      <c r="I19" s="72"/>
      <c r="J19" s="72"/>
      <c r="K19" s="113" t="s">
        <v>77</v>
      </c>
      <c r="M19" s="106">
        <v>0.77849999999999997</v>
      </c>
      <c r="N19" s="86">
        <v>1.04</v>
      </c>
      <c r="O19" s="87">
        <v>15</v>
      </c>
      <c r="P19" s="87">
        <v>66.75</v>
      </c>
      <c r="Q19" s="88">
        <v>0.53249999999999997</v>
      </c>
      <c r="R19" s="88">
        <v>0.14050000000000001</v>
      </c>
      <c r="S19" s="86">
        <v>5.5250000000000004</v>
      </c>
      <c r="T19" s="86">
        <v>1.45</v>
      </c>
      <c r="U19" s="86">
        <v>1.085</v>
      </c>
      <c r="V19" s="88">
        <v>0.1195</v>
      </c>
      <c r="W19" s="86">
        <v>7.3449999999999998</v>
      </c>
      <c r="X19" s="107">
        <f t="shared" si="1"/>
        <v>99.766000000000005</v>
      </c>
      <c r="Y19" s="60"/>
      <c r="Z19" s="130">
        <v>129.5</v>
      </c>
      <c r="AA19" s="91">
        <v>308.5</v>
      </c>
      <c r="AB19" s="91">
        <v>111.5</v>
      </c>
      <c r="AC19" s="90">
        <v>62.6</v>
      </c>
      <c r="AD19" s="87">
        <v>91.85</v>
      </c>
      <c r="AE19" s="91">
        <v>135.5</v>
      </c>
      <c r="AF19" s="87">
        <v>45.650000000000006</v>
      </c>
      <c r="AG19" s="86">
        <v>6.2</v>
      </c>
      <c r="AH19" s="87" t="s">
        <v>27</v>
      </c>
      <c r="AI19" s="87">
        <v>11.85</v>
      </c>
      <c r="AJ19" s="91">
        <v>372.5</v>
      </c>
      <c r="AK19" s="90">
        <v>147</v>
      </c>
      <c r="AL19" s="90">
        <v>75.900000000000006</v>
      </c>
      <c r="AM19" s="87">
        <v>42.150000000000006</v>
      </c>
      <c r="AN19" s="90" t="s">
        <v>27</v>
      </c>
      <c r="AO19" s="90" t="s">
        <v>27</v>
      </c>
      <c r="AP19" s="90" t="s">
        <v>27</v>
      </c>
      <c r="AQ19" s="90" t="s">
        <v>27</v>
      </c>
      <c r="AR19" s="90" t="s">
        <v>27</v>
      </c>
      <c r="AS19" s="90" t="s">
        <v>27</v>
      </c>
      <c r="AT19" s="91">
        <v>997.5</v>
      </c>
      <c r="AU19" s="91" t="s">
        <v>27</v>
      </c>
      <c r="AV19" s="87" t="s">
        <v>113</v>
      </c>
      <c r="AW19" s="94">
        <v>45.55</v>
      </c>
      <c r="AX19" s="69">
        <v>42.6</v>
      </c>
      <c r="AY19" s="132" t="s">
        <v>111</v>
      </c>
      <c r="AZ19" s="7"/>
      <c r="BA19" s="7"/>
    </row>
    <row r="20" spans="1:54" s="1" customFormat="1" ht="16" x14ac:dyDescent="0.2">
      <c r="A20" s="68">
        <v>5</v>
      </c>
      <c r="B20" s="69" t="str">
        <f t="shared" si="0"/>
        <v>XF0263</v>
      </c>
      <c r="C20" s="69" t="s">
        <v>81</v>
      </c>
      <c r="D20" s="70" t="s">
        <v>104</v>
      </c>
      <c r="E20" s="70"/>
      <c r="F20" s="71"/>
      <c r="G20" s="69"/>
      <c r="H20" s="72"/>
      <c r="I20" s="72"/>
      <c r="J20" s="72"/>
      <c r="K20" s="113" t="s">
        <v>77</v>
      </c>
      <c r="M20" s="93">
        <v>1.19</v>
      </c>
      <c r="N20" s="86">
        <v>1.5449999999999999</v>
      </c>
      <c r="O20" s="87">
        <v>13.5</v>
      </c>
      <c r="P20" s="87">
        <v>65.3</v>
      </c>
      <c r="Q20" s="88">
        <v>0.60949999999999993</v>
      </c>
      <c r="R20" s="85">
        <v>6.8349999999999994E-2</v>
      </c>
      <c r="S20" s="86">
        <v>2.165</v>
      </c>
      <c r="T20" s="86">
        <v>3.68</v>
      </c>
      <c r="U20" s="86">
        <v>1.48</v>
      </c>
      <c r="V20" s="88">
        <v>0.13950000000000001</v>
      </c>
      <c r="W20" s="87">
        <v>9.9699999999999989</v>
      </c>
      <c r="X20" s="107">
        <f t="shared" si="1"/>
        <v>99.647350000000003</v>
      </c>
      <c r="Y20" s="60"/>
      <c r="Z20" s="128">
        <v>84.55</v>
      </c>
      <c r="AA20" s="90">
        <v>519</v>
      </c>
      <c r="AB20" s="91">
        <v>301.5</v>
      </c>
      <c r="AC20" s="90">
        <v>107</v>
      </c>
      <c r="AD20" s="87">
        <v>96.45</v>
      </c>
      <c r="AE20" s="91">
        <v>152</v>
      </c>
      <c r="AF20" s="87">
        <v>41.25</v>
      </c>
      <c r="AG20" s="90">
        <v>31.1</v>
      </c>
      <c r="AH20" s="87" t="s">
        <v>27</v>
      </c>
      <c r="AI20" s="86">
        <v>7.3</v>
      </c>
      <c r="AJ20" s="91">
        <v>138.5</v>
      </c>
      <c r="AK20" s="90">
        <v>511</v>
      </c>
      <c r="AL20" s="90">
        <v>63.1</v>
      </c>
      <c r="AM20" s="87">
        <v>32.15</v>
      </c>
      <c r="AN20" s="90" t="s">
        <v>27</v>
      </c>
      <c r="AO20" s="90" t="s">
        <v>27</v>
      </c>
      <c r="AP20" s="90" t="s">
        <v>27</v>
      </c>
      <c r="AQ20" s="90" t="s">
        <v>27</v>
      </c>
      <c r="AR20" s="90" t="s">
        <v>27</v>
      </c>
      <c r="AS20" s="90" t="s">
        <v>27</v>
      </c>
      <c r="AT20" s="91">
        <v>1275</v>
      </c>
      <c r="AU20" s="91" t="s">
        <v>27</v>
      </c>
      <c r="AV20" s="87" t="s">
        <v>27</v>
      </c>
      <c r="AW20" s="94">
        <v>33.25</v>
      </c>
      <c r="AX20" s="94">
        <v>26</v>
      </c>
      <c r="AY20" s="133" t="s">
        <v>27</v>
      </c>
      <c r="AZ20" s="7"/>
      <c r="BA20" s="7"/>
    </row>
    <row r="21" spans="1:54" s="1" customFormat="1" ht="16" x14ac:dyDescent="0.2">
      <c r="A21" s="68">
        <v>6</v>
      </c>
      <c r="B21" s="69" t="str">
        <f t="shared" si="0"/>
        <v>XF0263</v>
      </c>
      <c r="C21" s="69" t="s">
        <v>95</v>
      </c>
      <c r="D21" s="70" t="s">
        <v>105</v>
      </c>
      <c r="E21" s="70"/>
      <c r="F21" s="71"/>
      <c r="G21" s="69"/>
      <c r="H21" s="72"/>
      <c r="I21" s="72"/>
      <c r="J21" s="72"/>
      <c r="K21" s="113" t="s">
        <v>77</v>
      </c>
      <c r="M21" s="106">
        <v>0.47400000000000003</v>
      </c>
      <c r="N21" s="88">
        <v>0.376</v>
      </c>
      <c r="O21" s="86">
        <v>6.88</v>
      </c>
      <c r="P21" s="87">
        <v>83.05</v>
      </c>
      <c r="Q21" s="88">
        <v>0.63800000000000001</v>
      </c>
      <c r="R21" s="88">
        <v>0.16750000000000001</v>
      </c>
      <c r="S21" s="86">
        <v>1.71</v>
      </c>
      <c r="T21" s="86">
        <v>1.0049999999999999</v>
      </c>
      <c r="U21" s="86">
        <v>1.52</v>
      </c>
      <c r="V21" s="88">
        <v>0.16250000000000001</v>
      </c>
      <c r="W21" s="86">
        <v>3.8449999999999998</v>
      </c>
      <c r="X21" s="107">
        <f t="shared" si="1"/>
        <v>99.827999999999989</v>
      </c>
      <c r="Y21" s="60"/>
      <c r="Z21" s="128">
        <v>86.15</v>
      </c>
      <c r="AA21" s="91">
        <v>297.5</v>
      </c>
      <c r="AB21" s="87">
        <v>61.25</v>
      </c>
      <c r="AC21" s="87">
        <v>43.15</v>
      </c>
      <c r="AD21" s="87">
        <v>70.25</v>
      </c>
      <c r="AE21" s="91">
        <v>145</v>
      </c>
      <c r="AF21" s="87">
        <v>22.65</v>
      </c>
      <c r="AG21" s="87">
        <v>15.65</v>
      </c>
      <c r="AH21" s="87">
        <v>4.71</v>
      </c>
      <c r="AI21" s="87">
        <v>15.05</v>
      </c>
      <c r="AJ21" s="91">
        <v>123.5</v>
      </c>
      <c r="AK21" s="91">
        <v>171.5</v>
      </c>
      <c r="AL21" s="87">
        <v>76.349999999999994</v>
      </c>
      <c r="AM21" s="90">
        <v>44.1</v>
      </c>
      <c r="AN21" s="90" t="s">
        <v>27</v>
      </c>
      <c r="AO21" s="90" t="s">
        <v>27</v>
      </c>
      <c r="AP21" s="90" t="s">
        <v>27</v>
      </c>
      <c r="AQ21" s="90" t="s">
        <v>27</v>
      </c>
      <c r="AR21" s="90" t="s">
        <v>27</v>
      </c>
      <c r="AS21" s="90" t="s">
        <v>27</v>
      </c>
      <c r="AT21" s="91">
        <v>531</v>
      </c>
      <c r="AU21" s="91" t="s">
        <v>27</v>
      </c>
      <c r="AV21" s="87" t="s">
        <v>27</v>
      </c>
      <c r="AW21" s="69">
        <v>77.8</v>
      </c>
      <c r="AX21" s="69">
        <v>27.2</v>
      </c>
      <c r="AY21" s="132" t="s">
        <v>114</v>
      </c>
      <c r="AZ21" s="7"/>
      <c r="BA21" s="7"/>
    </row>
    <row r="22" spans="1:54" s="1" customFormat="1" ht="16" x14ac:dyDescent="0.2">
      <c r="A22" s="68">
        <v>7</v>
      </c>
      <c r="B22" s="69" t="str">
        <f t="shared" si="0"/>
        <v>XF0263</v>
      </c>
      <c r="C22" s="69" t="s">
        <v>96</v>
      </c>
      <c r="D22" s="70" t="s">
        <v>106</v>
      </c>
      <c r="E22" s="70"/>
      <c r="F22" s="71"/>
      <c r="G22" s="69"/>
      <c r="H22" s="72"/>
      <c r="I22" s="72"/>
      <c r="J22" s="72"/>
      <c r="K22" s="113" t="s">
        <v>77</v>
      </c>
      <c r="M22" s="106">
        <v>0.96750000000000003</v>
      </c>
      <c r="N22" s="86">
        <v>1.46</v>
      </c>
      <c r="O22" s="87">
        <v>10</v>
      </c>
      <c r="P22" s="87">
        <v>59.5</v>
      </c>
      <c r="Q22" s="88">
        <v>0.5555000000000001</v>
      </c>
      <c r="R22" s="85">
        <v>9.0200000000000002E-2</v>
      </c>
      <c r="S22" s="86">
        <v>3.6950000000000003</v>
      </c>
      <c r="T22" s="87">
        <v>18.399999999999999</v>
      </c>
      <c r="U22" s="88">
        <v>0.73350000000000004</v>
      </c>
      <c r="V22" s="88">
        <v>0.1265</v>
      </c>
      <c r="W22" s="86">
        <v>4.21</v>
      </c>
      <c r="X22" s="107">
        <f t="shared" si="1"/>
        <v>99.738199999999978</v>
      </c>
      <c r="Y22" s="60"/>
      <c r="Z22" s="89">
        <v>64.400000000000006</v>
      </c>
      <c r="AA22" s="90">
        <v>171</v>
      </c>
      <c r="AB22" s="87">
        <v>25.4</v>
      </c>
      <c r="AC22" s="87">
        <v>37.549999999999997</v>
      </c>
      <c r="AD22" s="91">
        <v>227.5</v>
      </c>
      <c r="AE22" s="91">
        <v>123</v>
      </c>
      <c r="AF22" s="87">
        <v>33.65</v>
      </c>
      <c r="AG22" s="86">
        <v>9.7550000000000008</v>
      </c>
      <c r="AH22" s="87" t="s">
        <v>27</v>
      </c>
      <c r="AI22" s="87">
        <v>13.649999999999999</v>
      </c>
      <c r="AJ22" s="91">
        <v>256.5</v>
      </c>
      <c r="AK22" s="90">
        <v>487</v>
      </c>
      <c r="AL22" s="90">
        <v>53.5</v>
      </c>
      <c r="AM22" s="90">
        <v>27.1</v>
      </c>
      <c r="AN22" s="90" t="s">
        <v>27</v>
      </c>
      <c r="AO22" s="90" t="s">
        <v>27</v>
      </c>
      <c r="AP22" s="90" t="s">
        <v>27</v>
      </c>
      <c r="AQ22" s="90" t="s">
        <v>27</v>
      </c>
      <c r="AR22" s="90" t="s">
        <v>27</v>
      </c>
      <c r="AS22" s="90" t="s">
        <v>27</v>
      </c>
      <c r="AT22" s="91">
        <v>933</v>
      </c>
      <c r="AU22" s="91" t="s">
        <v>27</v>
      </c>
      <c r="AV22" s="87" t="s">
        <v>27</v>
      </c>
      <c r="AW22" s="94">
        <v>53.75</v>
      </c>
      <c r="AX22" s="94">
        <v>26.2</v>
      </c>
      <c r="AY22" s="132" t="s">
        <v>117</v>
      </c>
      <c r="AZ22" s="7"/>
      <c r="BA22" s="7"/>
    </row>
    <row r="23" spans="1:54" s="1" customFormat="1" ht="16" x14ac:dyDescent="0.2">
      <c r="A23" s="68">
        <v>8</v>
      </c>
      <c r="B23" s="69" t="str">
        <f t="shared" si="0"/>
        <v>XF0263</v>
      </c>
      <c r="C23" s="69" t="s">
        <v>97</v>
      </c>
      <c r="D23" s="70" t="s">
        <v>107</v>
      </c>
      <c r="E23" s="70"/>
      <c r="F23" s="71"/>
      <c r="G23" s="69"/>
      <c r="H23" s="72"/>
      <c r="I23" s="72"/>
      <c r="J23" s="72"/>
      <c r="K23" s="113" t="s">
        <v>77</v>
      </c>
      <c r="M23" s="93">
        <v>5.9550000000000001</v>
      </c>
      <c r="N23" s="88" t="s">
        <v>27</v>
      </c>
      <c r="O23" s="87">
        <v>13.95</v>
      </c>
      <c r="P23" s="87">
        <v>11.6</v>
      </c>
      <c r="Q23" s="88">
        <v>0.86499999999999999</v>
      </c>
      <c r="R23" s="88">
        <v>0.33300000000000002</v>
      </c>
      <c r="S23" s="88" t="s">
        <v>27</v>
      </c>
      <c r="T23" s="86">
        <v>3.5949999999999998</v>
      </c>
      <c r="U23" s="86">
        <v>5.29</v>
      </c>
      <c r="V23" s="88">
        <v>0.623</v>
      </c>
      <c r="W23" s="87">
        <v>56.900000000000006</v>
      </c>
      <c r="X23" s="107">
        <f t="shared" si="1"/>
        <v>99.111000000000004</v>
      </c>
      <c r="Y23" s="60"/>
      <c r="Z23" s="89">
        <v>1205</v>
      </c>
      <c r="AA23" s="90">
        <v>2555</v>
      </c>
      <c r="AB23" s="91">
        <v>1090</v>
      </c>
      <c r="AC23" s="91">
        <v>592.5</v>
      </c>
      <c r="AD23" s="91">
        <v>174</v>
      </c>
      <c r="AE23" s="91">
        <v>446.5</v>
      </c>
      <c r="AF23" s="91">
        <v>107.5</v>
      </c>
      <c r="AG23" s="90">
        <v>71.8</v>
      </c>
      <c r="AH23" s="87">
        <v>6.95</v>
      </c>
      <c r="AI23" s="87">
        <v>11.3</v>
      </c>
      <c r="AJ23" s="90" t="s">
        <v>27</v>
      </c>
      <c r="AK23" s="91">
        <v>396.5</v>
      </c>
      <c r="AL23" s="91">
        <v>572.5</v>
      </c>
      <c r="AM23" s="90">
        <v>287</v>
      </c>
      <c r="AN23" s="90" t="s">
        <v>27</v>
      </c>
      <c r="AO23" s="90" t="s">
        <v>27</v>
      </c>
      <c r="AP23" s="90">
        <v>47.599999999999994</v>
      </c>
      <c r="AQ23" s="90" t="s">
        <v>27</v>
      </c>
      <c r="AR23" s="90" t="s">
        <v>27</v>
      </c>
      <c r="AS23" s="90" t="s">
        <v>27</v>
      </c>
      <c r="AT23" s="91" t="s">
        <v>27</v>
      </c>
      <c r="AU23" s="91">
        <v>353</v>
      </c>
      <c r="AV23" s="91">
        <v>320.5</v>
      </c>
      <c r="AW23" s="71">
        <v>124.5</v>
      </c>
      <c r="AX23" s="71">
        <v>203.5</v>
      </c>
      <c r="AY23" s="92" t="s">
        <v>27</v>
      </c>
      <c r="AZ23" s="7"/>
      <c r="BA23" s="7"/>
    </row>
    <row r="24" spans="1:54" s="1" customFormat="1" ht="16" x14ac:dyDescent="0.2">
      <c r="A24" s="68">
        <v>9</v>
      </c>
      <c r="B24" s="69" t="str">
        <f t="shared" si="0"/>
        <v>XF0263</v>
      </c>
      <c r="C24" s="69" t="s">
        <v>98</v>
      </c>
      <c r="D24" s="70" t="s">
        <v>108</v>
      </c>
      <c r="E24" s="70"/>
      <c r="F24" s="71"/>
      <c r="G24" s="69"/>
      <c r="H24" s="72"/>
      <c r="I24" s="72"/>
      <c r="J24" s="72"/>
      <c r="K24" s="113" t="s">
        <v>77</v>
      </c>
      <c r="M24" s="93">
        <v>2.0699999999999998</v>
      </c>
      <c r="N24" s="88">
        <v>0.20850000000000002</v>
      </c>
      <c r="O24" s="86">
        <v>6.57</v>
      </c>
      <c r="P24" s="86">
        <v>3.83</v>
      </c>
      <c r="Q24" s="86">
        <v>1.625</v>
      </c>
      <c r="R24" s="88">
        <v>0.55249999999999999</v>
      </c>
      <c r="S24" s="88" t="s">
        <v>27</v>
      </c>
      <c r="T24" s="86">
        <v>7.4649999999999999</v>
      </c>
      <c r="U24" s="86">
        <v>6.71</v>
      </c>
      <c r="V24" s="86">
        <v>1.77</v>
      </c>
      <c r="W24" s="87">
        <v>67.599999999999994</v>
      </c>
      <c r="X24" s="107">
        <f t="shared" si="1"/>
        <v>98.400999999999996</v>
      </c>
      <c r="Y24" s="60"/>
      <c r="Z24" s="89">
        <v>242</v>
      </c>
      <c r="AA24" s="90">
        <v>2980</v>
      </c>
      <c r="AB24" s="91">
        <v>2470</v>
      </c>
      <c r="AC24" s="90">
        <v>1750</v>
      </c>
      <c r="AD24" s="91">
        <v>401.5</v>
      </c>
      <c r="AE24" s="91">
        <v>1245</v>
      </c>
      <c r="AF24" s="87">
        <v>37.950000000000003</v>
      </c>
      <c r="AG24" s="87">
        <v>82.949999999999989</v>
      </c>
      <c r="AH24" s="87" t="s">
        <v>27</v>
      </c>
      <c r="AI24" s="91" t="s">
        <v>27</v>
      </c>
      <c r="AJ24" s="90" t="s">
        <v>27</v>
      </c>
      <c r="AK24" s="91">
        <v>980.5</v>
      </c>
      <c r="AL24" s="90">
        <v>1525</v>
      </c>
      <c r="AM24" s="90">
        <v>391</v>
      </c>
      <c r="AN24" s="90" t="s">
        <v>27</v>
      </c>
      <c r="AO24" s="90" t="s">
        <v>27</v>
      </c>
      <c r="AP24" s="91">
        <v>156.5</v>
      </c>
      <c r="AQ24" s="90" t="s">
        <v>27</v>
      </c>
      <c r="AR24" s="90" t="s">
        <v>27</v>
      </c>
      <c r="AS24" s="90" t="s">
        <v>27</v>
      </c>
      <c r="AT24" s="91">
        <v>266</v>
      </c>
      <c r="AU24" s="91">
        <v>1170</v>
      </c>
      <c r="AV24" s="91">
        <v>1080</v>
      </c>
      <c r="AW24" s="71">
        <v>414.5</v>
      </c>
      <c r="AX24" s="71">
        <v>308.5</v>
      </c>
      <c r="AY24" s="92" t="s">
        <v>27</v>
      </c>
      <c r="AZ24" s="7"/>
      <c r="BA24" s="7"/>
    </row>
    <row r="25" spans="1:54" s="1" customFormat="1" ht="17" thickBot="1" x14ac:dyDescent="0.25">
      <c r="A25" s="73">
        <v>10</v>
      </c>
      <c r="B25" s="74" t="str">
        <f t="shared" si="0"/>
        <v>XF0263</v>
      </c>
      <c r="C25" s="74" t="s">
        <v>99</v>
      </c>
      <c r="D25" s="75" t="s">
        <v>109</v>
      </c>
      <c r="E25" s="75"/>
      <c r="F25" s="76"/>
      <c r="G25" s="74"/>
      <c r="H25" s="77"/>
      <c r="I25" s="77"/>
      <c r="J25" s="77"/>
      <c r="K25" s="78" t="s">
        <v>77</v>
      </c>
      <c r="M25" s="95">
        <v>2.2350000000000003</v>
      </c>
      <c r="N25" s="98">
        <v>0.24049999999999999</v>
      </c>
      <c r="O25" s="96">
        <v>6.8250000000000002</v>
      </c>
      <c r="P25" s="96">
        <v>3.59</v>
      </c>
      <c r="Q25" s="96">
        <v>1.4750000000000001</v>
      </c>
      <c r="R25" s="98">
        <v>0.3765</v>
      </c>
      <c r="S25" s="98" t="s">
        <v>27</v>
      </c>
      <c r="T25" s="96">
        <v>8.14</v>
      </c>
      <c r="U25" s="96">
        <v>6.84</v>
      </c>
      <c r="V25" s="96">
        <v>1.6949999999999998</v>
      </c>
      <c r="W25" s="97">
        <v>67</v>
      </c>
      <c r="X25" s="108">
        <f>SUM(M25:W25)</f>
        <v>98.417000000000002</v>
      </c>
      <c r="Y25" s="60"/>
      <c r="Z25" s="99">
        <v>125</v>
      </c>
      <c r="AA25" s="100">
        <v>3080</v>
      </c>
      <c r="AB25" s="101">
        <v>2450</v>
      </c>
      <c r="AC25" s="100">
        <v>1640</v>
      </c>
      <c r="AD25" s="101">
        <v>380.5</v>
      </c>
      <c r="AE25" s="101">
        <v>1155</v>
      </c>
      <c r="AF25" s="97">
        <v>39.700000000000003</v>
      </c>
      <c r="AG25" s="97">
        <v>96.35</v>
      </c>
      <c r="AH25" s="96" t="s">
        <v>27</v>
      </c>
      <c r="AI25" s="101" t="s">
        <v>27</v>
      </c>
      <c r="AJ25" s="97" t="s">
        <v>27</v>
      </c>
      <c r="AK25" s="101">
        <v>994.5</v>
      </c>
      <c r="AL25" s="100">
        <v>1490</v>
      </c>
      <c r="AM25" s="101">
        <v>420.5</v>
      </c>
      <c r="AN25" s="100" t="s">
        <v>27</v>
      </c>
      <c r="AO25" s="100" t="s">
        <v>27</v>
      </c>
      <c r="AP25" s="101">
        <v>127.5</v>
      </c>
      <c r="AQ25" s="100" t="s">
        <v>27</v>
      </c>
      <c r="AR25" s="100" t="s">
        <v>27</v>
      </c>
      <c r="AS25" s="100" t="s">
        <v>27</v>
      </c>
      <c r="AT25" s="101">
        <v>252.5</v>
      </c>
      <c r="AU25" s="101">
        <v>1220</v>
      </c>
      <c r="AV25" s="101">
        <v>1140</v>
      </c>
      <c r="AW25" s="76">
        <v>434.5</v>
      </c>
      <c r="AX25" s="74">
        <v>329</v>
      </c>
      <c r="AY25" s="102" t="s">
        <v>27</v>
      </c>
      <c r="AZ25" s="7"/>
      <c r="BA25" s="7"/>
    </row>
    <row r="26" spans="1:54" s="1" customFormat="1" ht="16" x14ac:dyDescent="0.2">
      <c r="A26" s="7"/>
      <c r="B26" s="7"/>
      <c r="C26" s="7"/>
      <c r="D26" s="30"/>
      <c r="E26" s="30"/>
      <c r="F26" s="31"/>
      <c r="G26" s="7"/>
      <c r="H26" s="32"/>
      <c r="I26" s="32"/>
      <c r="J26" s="32"/>
      <c r="K26" s="7"/>
      <c r="M26" s="60"/>
      <c r="N26" s="60"/>
      <c r="O26" s="57"/>
      <c r="P26" s="60"/>
      <c r="Q26" s="62"/>
      <c r="R26" s="60"/>
      <c r="S26" s="63"/>
      <c r="T26" s="57"/>
      <c r="U26" s="62"/>
      <c r="V26" s="62"/>
      <c r="W26" s="60"/>
      <c r="X26" s="57"/>
      <c r="Y26" s="60"/>
      <c r="Z26" s="33"/>
      <c r="AA26" s="33"/>
      <c r="AB26" s="64"/>
      <c r="AC26" s="33"/>
      <c r="AD26" s="57"/>
      <c r="AE26" s="57"/>
      <c r="AF26" s="57"/>
      <c r="AG26" s="33"/>
      <c r="AH26" s="57"/>
      <c r="AI26" s="57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57"/>
      <c r="AU26" s="64"/>
      <c r="AV26" s="33"/>
      <c r="AW26" s="7"/>
      <c r="AX26" s="7"/>
      <c r="AY26" s="65"/>
      <c r="AZ26" s="7"/>
      <c r="BA26" s="7"/>
    </row>
    <row r="27" spans="1:54" s="1" customFormat="1" ht="17" thickBot="1" x14ac:dyDescent="0.25">
      <c r="A27" s="7"/>
      <c r="C27" s="7"/>
      <c r="D27" s="30"/>
      <c r="E27"/>
      <c r="F27" s="31"/>
      <c r="G27" s="32"/>
      <c r="H27" s="32"/>
      <c r="I27" s="32"/>
      <c r="J27" s="32"/>
      <c r="K27"/>
      <c r="L27"/>
      <c r="M27" s="2" t="s">
        <v>2</v>
      </c>
      <c r="N27" s="2" t="s">
        <v>2</v>
      </c>
      <c r="O27" s="2" t="s">
        <v>2</v>
      </c>
      <c r="P27" s="2" t="s">
        <v>2</v>
      </c>
      <c r="Q27" s="2" t="s">
        <v>2</v>
      </c>
      <c r="R27" s="2" t="s">
        <v>2</v>
      </c>
      <c r="S27" s="2" t="s">
        <v>2</v>
      </c>
      <c r="T27" s="2" t="s">
        <v>2</v>
      </c>
      <c r="U27" s="2" t="s">
        <v>2</v>
      </c>
      <c r="V27" s="2" t="s">
        <v>2</v>
      </c>
      <c r="W27" s="2" t="s">
        <v>2</v>
      </c>
      <c r="X27" s="2" t="s">
        <v>2</v>
      </c>
      <c r="Y27" s="2"/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  <c r="AJ27" s="3" t="s">
        <v>3</v>
      </c>
      <c r="AK27" s="3" t="s">
        <v>3</v>
      </c>
      <c r="AL27" s="3" t="s">
        <v>3</v>
      </c>
      <c r="AM27" s="3" t="s">
        <v>3</v>
      </c>
      <c r="AN27" s="3" t="s">
        <v>3</v>
      </c>
      <c r="AO27" s="3" t="s">
        <v>3</v>
      </c>
      <c r="AP27" s="3" t="s">
        <v>3</v>
      </c>
      <c r="AQ27" s="3" t="s">
        <v>3</v>
      </c>
      <c r="AR27" s="3" t="s">
        <v>3</v>
      </c>
      <c r="AS27" s="3" t="s">
        <v>3</v>
      </c>
      <c r="AT27" s="3" t="s">
        <v>3</v>
      </c>
      <c r="AU27" s="3" t="s">
        <v>3</v>
      </c>
      <c r="AV27" s="3" t="s">
        <v>3</v>
      </c>
      <c r="AW27" s="47" t="s">
        <v>3</v>
      </c>
      <c r="AX27" s="47" t="s">
        <v>3</v>
      </c>
      <c r="AY27" s="47" t="s">
        <v>3</v>
      </c>
      <c r="AZ27"/>
      <c r="BA27"/>
      <c r="BB27"/>
    </row>
    <row r="28" spans="1:54" ht="19" thickBot="1" x14ac:dyDescent="0.3">
      <c r="C28" s="7"/>
      <c r="K28" s="24" t="s">
        <v>72</v>
      </c>
      <c r="M28" s="4" t="s">
        <v>4</v>
      </c>
      <c r="N28" s="5" t="s">
        <v>5</v>
      </c>
      <c r="O28" s="6" t="s">
        <v>6</v>
      </c>
      <c r="P28" s="5" t="s">
        <v>7</v>
      </c>
      <c r="Q28" s="5" t="s">
        <v>8</v>
      </c>
      <c r="R28" s="5" t="s">
        <v>9</v>
      </c>
      <c r="S28" s="5" t="s">
        <v>10</v>
      </c>
      <c r="T28" s="5" t="s">
        <v>11</v>
      </c>
      <c r="U28" s="5" t="s">
        <v>12</v>
      </c>
      <c r="V28" s="5" t="s">
        <v>13</v>
      </c>
      <c r="W28" s="5" t="s">
        <v>14</v>
      </c>
      <c r="X28" s="56" t="s">
        <v>24</v>
      </c>
      <c r="Y28" s="30"/>
      <c r="Z28" s="8" t="s">
        <v>18</v>
      </c>
      <c r="AA28" s="9" t="s">
        <v>28</v>
      </c>
      <c r="AB28" s="9" t="s">
        <v>19</v>
      </c>
      <c r="AC28" s="9" t="s">
        <v>20</v>
      </c>
      <c r="AD28" s="9" t="s">
        <v>15</v>
      </c>
      <c r="AE28" s="9" t="s">
        <v>16</v>
      </c>
      <c r="AF28" s="9" t="s">
        <v>29</v>
      </c>
      <c r="AG28" s="9" t="s">
        <v>30</v>
      </c>
      <c r="AH28" s="9" t="s">
        <v>31</v>
      </c>
      <c r="AI28" s="9" t="s">
        <v>21</v>
      </c>
      <c r="AJ28" s="9" t="s">
        <v>32</v>
      </c>
      <c r="AK28" s="9" t="s">
        <v>33</v>
      </c>
      <c r="AL28" s="9" t="s">
        <v>34</v>
      </c>
      <c r="AM28" s="9" t="s">
        <v>35</v>
      </c>
      <c r="AN28" s="9" t="s">
        <v>36</v>
      </c>
      <c r="AO28" s="9" t="s">
        <v>17</v>
      </c>
      <c r="AP28" s="9" t="s">
        <v>22</v>
      </c>
      <c r="AQ28" s="9" t="s">
        <v>37</v>
      </c>
      <c r="AR28" s="9" t="s">
        <v>38</v>
      </c>
      <c r="AS28" s="9" t="s">
        <v>39</v>
      </c>
      <c r="AT28" s="10" t="s">
        <v>40</v>
      </c>
      <c r="AU28" s="10" t="s">
        <v>41</v>
      </c>
      <c r="AV28" s="9" t="s">
        <v>42</v>
      </c>
      <c r="AW28" s="5" t="s">
        <v>23</v>
      </c>
      <c r="AX28" s="5" t="s">
        <v>44</v>
      </c>
      <c r="AY28" s="56" t="s">
        <v>43</v>
      </c>
    </row>
    <row r="29" spans="1:54" ht="17" thickTop="1" x14ac:dyDescent="0.2">
      <c r="F29" s="17"/>
      <c r="G29" s="17"/>
      <c r="H29" s="17"/>
      <c r="I29" s="17"/>
      <c r="J29" s="17"/>
      <c r="K29" s="49" t="s">
        <v>73</v>
      </c>
      <c r="M29" s="14">
        <v>1.55</v>
      </c>
      <c r="N29" s="15">
        <v>3.66</v>
      </c>
      <c r="O29" s="13">
        <v>15.4</v>
      </c>
      <c r="P29" s="13">
        <v>68</v>
      </c>
      <c r="Q29" s="25">
        <v>0.155</v>
      </c>
      <c r="R29" s="25">
        <v>0.28999999999999998</v>
      </c>
      <c r="S29" s="15">
        <v>2.2799999999999998</v>
      </c>
      <c r="T29" s="15">
        <v>2.3199999999999998</v>
      </c>
      <c r="U29" s="15">
        <v>0.65700000000000003</v>
      </c>
      <c r="V29" s="15">
        <v>8.0799999999999997E-2</v>
      </c>
      <c r="W29" s="15">
        <v>5.31</v>
      </c>
      <c r="X29" s="50">
        <f>SUM(M29:W29)</f>
        <v>99.702799999999996</v>
      </c>
      <c r="Y29" s="57"/>
      <c r="Z29" s="11">
        <v>148</v>
      </c>
      <c r="AA29" s="12">
        <v>272</v>
      </c>
      <c r="AB29" s="45">
        <v>171</v>
      </c>
      <c r="AC29" s="12">
        <v>100</v>
      </c>
      <c r="AD29" s="13">
        <v>52.8</v>
      </c>
      <c r="AE29" s="12">
        <v>122</v>
      </c>
      <c r="AF29" s="13">
        <v>21.7</v>
      </c>
      <c r="AG29" s="13">
        <v>19.7</v>
      </c>
      <c r="AH29" s="12" t="s">
        <v>27</v>
      </c>
      <c r="AI29" s="15">
        <v>9.7200000000000006</v>
      </c>
      <c r="AJ29" s="12">
        <v>112</v>
      </c>
      <c r="AK29" s="45">
        <v>263</v>
      </c>
      <c r="AL29" s="12">
        <v>26.6</v>
      </c>
      <c r="AM29" s="13">
        <v>15.1</v>
      </c>
      <c r="AN29" s="12" t="s">
        <v>27</v>
      </c>
      <c r="AO29" s="13" t="s">
        <v>27</v>
      </c>
      <c r="AP29" s="12" t="s">
        <v>27</v>
      </c>
      <c r="AQ29" s="13" t="s">
        <v>27</v>
      </c>
      <c r="AR29" s="12" t="s">
        <v>27</v>
      </c>
      <c r="AS29" s="12" t="s">
        <v>27</v>
      </c>
      <c r="AT29" s="45">
        <v>751</v>
      </c>
      <c r="AU29" s="12" t="s">
        <v>27</v>
      </c>
      <c r="AV29" s="12" t="s">
        <v>27</v>
      </c>
      <c r="AW29" s="12">
        <v>27.2</v>
      </c>
      <c r="AX29" s="12">
        <v>17.899999999999999</v>
      </c>
      <c r="AY29" s="61" t="s">
        <v>27</v>
      </c>
    </row>
    <row r="30" spans="1:54" ht="17" thickBot="1" x14ac:dyDescent="0.25">
      <c r="K30" s="20" t="s">
        <v>45</v>
      </c>
      <c r="M30" s="26">
        <v>1.5640000000000001</v>
      </c>
      <c r="N30" s="27">
        <v>2.504</v>
      </c>
      <c r="O30" s="19">
        <v>14.167999999999999</v>
      </c>
      <c r="P30" s="19">
        <v>63.442999999999998</v>
      </c>
      <c r="Q30" s="27">
        <v>0.14199999999999999</v>
      </c>
      <c r="R30" s="28">
        <v>0.222</v>
      </c>
      <c r="S30" s="27">
        <v>2.4460000000000002</v>
      </c>
      <c r="T30" s="27">
        <v>2.6440000000000001</v>
      </c>
      <c r="U30" s="27">
        <v>0.56999999999999995</v>
      </c>
      <c r="V30" s="27">
        <v>6.9000000000000006E-2</v>
      </c>
      <c r="W30" s="27">
        <v>5.0049999999999999</v>
      </c>
      <c r="X30" s="51">
        <v>92.776999999999987</v>
      </c>
      <c r="Y30" s="58"/>
      <c r="Z30" s="48"/>
      <c r="AA30" s="18">
        <v>112</v>
      </c>
      <c r="AB30" s="52">
        <v>130</v>
      </c>
      <c r="AC30" s="18">
        <v>88</v>
      </c>
      <c r="AD30" s="19">
        <v>34.6</v>
      </c>
      <c r="AE30" s="18">
        <v>106</v>
      </c>
      <c r="AF30" s="19">
        <v>14</v>
      </c>
      <c r="AG30" s="19">
        <v>17.7</v>
      </c>
      <c r="AH30" s="18">
        <v>1.6</v>
      </c>
      <c r="AI30" s="19"/>
      <c r="AJ30" s="19">
        <v>96</v>
      </c>
      <c r="AK30" s="52">
        <v>231</v>
      </c>
      <c r="AL30" s="19">
        <v>18</v>
      </c>
      <c r="AM30" s="18"/>
      <c r="AN30" s="18"/>
      <c r="AO30" s="27">
        <v>0.41</v>
      </c>
      <c r="AP30" s="18">
        <v>0.38</v>
      </c>
      <c r="AQ30" s="19"/>
      <c r="AR30" s="18">
        <v>7.9</v>
      </c>
      <c r="AS30" s="27">
        <v>5.3</v>
      </c>
      <c r="AT30" s="52">
        <v>968</v>
      </c>
      <c r="AU30" s="19">
        <v>23</v>
      </c>
      <c r="AV30" s="19">
        <v>42</v>
      </c>
      <c r="AW30" s="18">
        <v>18.899999999999999</v>
      </c>
      <c r="AX30" s="19">
        <v>11</v>
      </c>
      <c r="AY30" s="51">
        <v>3</v>
      </c>
    </row>
    <row r="31" spans="1:54" ht="16" x14ac:dyDescent="0.2">
      <c r="K31" s="49" t="s">
        <v>74</v>
      </c>
      <c r="M31" s="14">
        <v>1.91</v>
      </c>
      <c r="N31" s="12">
        <v>1.62</v>
      </c>
      <c r="O31" s="12">
        <v>12.8</v>
      </c>
      <c r="P31" s="12">
        <v>68.599999999999994</v>
      </c>
      <c r="Q31" s="12">
        <v>0.223</v>
      </c>
      <c r="R31" s="12">
        <v>0.66500000000000004</v>
      </c>
      <c r="S31" s="15">
        <v>2.59</v>
      </c>
      <c r="T31" s="15">
        <v>1.6</v>
      </c>
      <c r="U31" s="12">
        <v>0.57199999999999995</v>
      </c>
      <c r="V31" s="12">
        <v>1.57</v>
      </c>
      <c r="W31" s="12">
        <v>5.63</v>
      </c>
      <c r="X31" s="53">
        <f>SUM(M31:W31)</f>
        <v>97.779999999999987</v>
      </c>
      <c r="Y31" s="58"/>
      <c r="Z31" s="11">
        <v>259</v>
      </c>
      <c r="AA31" s="13">
        <v>81</v>
      </c>
      <c r="AB31" s="12">
        <v>42.4</v>
      </c>
      <c r="AC31" s="12">
        <v>22.7</v>
      </c>
      <c r="AD31" s="12">
        <v>3560</v>
      </c>
      <c r="AE31" s="12">
        <v>8100</v>
      </c>
      <c r="AF31" s="12">
        <v>81.5</v>
      </c>
      <c r="AG31" s="12">
        <v>828</v>
      </c>
      <c r="AH31" s="12">
        <v>11</v>
      </c>
      <c r="AI31" s="13">
        <v>26.3</v>
      </c>
      <c r="AJ31" s="12">
        <v>174</v>
      </c>
      <c r="AK31" s="45">
        <v>418</v>
      </c>
      <c r="AL31" s="12">
        <v>40.9</v>
      </c>
      <c r="AM31" s="12" t="s">
        <v>27</v>
      </c>
      <c r="AN31" s="12" t="s">
        <v>27</v>
      </c>
      <c r="AO31" s="13">
        <v>45.1</v>
      </c>
      <c r="AP31" s="12">
        <v>25.9</v>
      </c>
      <c r="AQ31" s="12" t="s">
        <v>27</v>
      </c>
      <c r="AR31" s="12">
        <v>46.3</v>
      </c>
      <c r="AS31" s="12">
        <v>96.7</v>
      </c>
      <c r="AT31" s="45">
        <v>663</v>
      </c>
      <c r="AU31" s="12" t="s">
        <v>27</v>
      </c>
      <c r="AV31" s="12" t="s">
        <v>27</v>
      </c>
      <c r="AW31" s="12">
        <v>6960</v>
      </c>
      <c r="AX31" s="12">
        <v>74.5</v>
      </c>
      <c r="AY31" s="61" t="s">
        <v>27</v>
      </c>
    </row>
    <row r="32" spans="1:54" ht="17" thickBot="1" x14ac:dyDescent="0.25">
      <c r="K32" s="20" t="s">
        <v>45</v>
      </c>
      <c r="M32" s="26">
        <v>1.5369999999999999</v>
      </c>
      <c r="N32" s="27">
        <v>1.4139999999999999</v>
      </c>
      <c r="O32" s="19">
        <v>12.164999999999999</v>
      </c>
      <c r="P32" s="19">
        <v>61.966999999999999</v>
      </c>
      <c r="Q32" s="18">
        <v>0.24299999999999999</v>
      </c>
      <c r="R32" s="18">
        <v>0.59899999999999998</v>
      </c>
      <c r="S32" s="18">
        <v>2.5430000000000001</v>
      </c>
      <c r="T32" s="27">
        <v>1.7490000000000001</v>
      </c>
      <c r="U32" s="18">
        <v>0.47199999999999998</v>
      </c>
      <c r="V32" s="27">
        <v>1.304</v>
      </c>
      <c r="W32" s="27">
        <v>4.8330000000000002</v>
      </c>
      <c r="X32" s="51">
        <v>88.825999999999993</v>
      </c>
      <c r="Y32" s="58"/>
      <c r="Z32" s="48"/>
      <c r="AA32" s="18">
        <v>76.599999999999994</v>
      </c>
      <c r="AB32" s="18">
        <v>39</v>
      </c>
      <c r="AC32" s="18">
        <v>14.3</v>
      </c>
      <c r="AD32" s="18">
        <v>2950</v>
      </c>
      <c r="AE32" s="18">
        <v>6952</v>
      </c>
      <c r="AF32" s="18">
        <v>34</v>
      </c>
      <c r="AG32" s="18">
        <v>626</v>
      </c>
      <c r="AH32" s="18"/>
      <c r="AI32" s="27">
        <v>6</v>
      </c>
      <c r="AJ32" s="18">
        <v>120</v>
      </c>
      <c r="AK32" s="18">
        <v>330</v>
      </c>
      <c r="AL32" s="19">
        <v>23</v>
      </c>
      <c r="AM32" s="18"/>
      <c r="AN32" s="18"/>
      <c r="AO32" s="18">
        <v>35.299999999999997</v>
      </c>
      <c r="AP32" s="18">
        <v>21.8</v>
      </c>
      <c r="AQ32" s="18">
        <v>5.0999999999999996</v>
      </c>
      <c r="AR32" s="18">
        <v>38.4</v>
      </c>
      <c r="AS32" s="18">
        <v>107</v>
      </c>
      <c r="AT32" s="18">
        <v>707</v>
      </c>
      <c r="AU32" s="19">
        <v>34</v>
      </c>
      <c r="AV32" s="19">
        <v>57</v>
      </c>
      <c r="AW32" s="18">
        <v>5532</v>
      </c>
      <c r="AX32" s="19">
        <v>13</v>
      </c>
      <c r="AY32" s="51">
        <v>25</v>
      </c>
    </row>
    <row r="33" spans="13:51" ht="16" thickBot="1" x14ac:dyDescent="0.25"/>
    <row r="34" spans="13:51" ht="16" x14ac:dyDescent="0.2">
      <c r="M34" s="155" t="s">
        <v>70</v>
      </c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7"/>
      <c r="Y34" s="59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</row>
    <row r="35" spans="13:51" ht="17" thickBot="1" x14ac:dyDescent="0.25">
      <c r="M35" s="158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60"/>
      <c r="Y35" s="59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7"/>
      <c r="AY35" s="7"/>
    </row>
  </sheetData>
  <mergeCells count="30">
    <mergeCell ref="M34:X35"/>
    <mergeCell ref="M13:X13"/>
    <mergeCell ref="Z13:AY13"/>
    <mergeCell ref="A14:A15"/>
    <mergeCell ref="B14:C15"/>
    <mergeCell ref="D14:D15"/>
    <mergeCell ref="E14:E15"/>
    <mergeCell ref="F14:F15"/>
    <mergeCell ref="G14:G15"/>
    <mergeCell ref="H14:J14"/>
    <mergeCell ref="K14:K15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A5:C5"/>
    <mergeCell ref="D5:E5"/>
    <mergeCell ref="A1:D1"/>
    <mergeCell ref="A3:C3"/>
    <mergeCell ref="D3:E3"/>
    <mergeCell ref="A4:C4"/>
    <mergeCell ref="D4:E4"/>
  </mergeCells>
  <hyperlinks>
    <hyperlink ref="D10" r:id="rId1" xr:uid="{1621DE59-0725-ED4C-B437-590BC1C63B82}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942cad-d71f-4a81-9a65-ee3852e05ac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6F79D3589604CAED7393084AF4F6C" ma:contentTypeVersion="18" ma:contentTypeDescription="Create a new document." ma:contentTypeScope="" ma:versionID="de8ac035a6d95d6abec4c05040641975">
  <xsd:schema xmlns:xsd="http://www.w3.org/2001/XMLSchema" xmlns:xs="http://www.w3.org/2001/XMLSchema" xmlns:p="http://schemas.microsoft.com/office/2006/metadata/properties" xmlns:ns3="55942cad-d71f-4a81-9a65-ee3852e05ac1" xmlns:ns4="aa2fafed-f90e-4033-94cc-1d579156af6d" targetNamespace="http://schemas.microsoft.com/office/2006/metadata/properties" ma:root="true" ma:fieldsID="fc81a5249c4a13302bd2887f85717747" ns3:_="" ns4:_="">
    <xsd:import namespace="55942cad-d71f-4a81-9a65-ee3852e05ac1"/>
    <xsd:import namespace="aa2fafed-f90e-4033-94cc-1d579156af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42cad-d71f-4a81-9a65-ee3852e05a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fafed-f90e-4033-94cc-1d579156af6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89DF44-6615-47A8-AE8E-556FDF557081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55942cad-d71f-4a81-9a65-ee3852e05ac1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aa2fafed-f90e-4033-94cc-1d579156af6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C55029D-9C8F-4E5F-B23E-B796AEC920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942cad-d71f-4a81-9a65-ee3852e05ac1"/>
    <ds:schemaRef ds:uri="aa2fafed-f90e-4033-94cc-1d579156af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08879-6666-4EDE-824D-CD862F89E1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XF0263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Morgan Kay</dc:creator>
  <cp:lastModifiedBy>Patel, Kaizad F</cp:lastModifiedBy>
  <dcterms:created xsi:type="dcterms:W3CDTF">2019-05-02T19:11:34Z</dcterms:created>
  <dcterms:modified xsi:type="dcterms:W3CDTF">2026-03-11T03:42:48Z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0x010100A066F79D3589604CAED7393084AF4F6C</vt:lpwstr>
  </property>
</Properties>
</file>